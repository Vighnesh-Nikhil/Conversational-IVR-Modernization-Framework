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Product Backlog" sheetId="2" r:id="rId6"/>
    <sheet name="Sprint Backlog" sheetId="3" r:id="rId7"/>
    <sheet name="Stand up Meeting" sheetId="4" r:id="rId8"/>
    <sheet name="Retrospection" sheetId="5" r:id="rId9"/>
  </sheets>
</workbook>
</file>

<file path=xl/comments1.xml><?xml version="1.0" encoding="utf-8"?>
<comments xmlns="http://schemas.openxmlformats.org/spreadsheetml/2006/main">
  <authors>
    <author>Sumeet Kumar Barua08</author>
  </authors>
  <commentList>
    <comment ref="F1" authorId="0">
      <text>
        <r>
          <rPr>
            <sz val="11"/>
            <color indexed="8"/>
            <rFont val="Helvetica Neue"/>
          </rPr>
          <t xml:space="preserve">Sumeet Kumar Barua08:
Mention the US ID(s) on which the user story depends.
</t>
        </r>
      </text>
    </comment>
  </commentList>
</comments>
</file>

<file path=xl/comments2.xml><?xml version="1.0" encoding="utf-8"?>
<comments xmlns="http://schemas.openxmlformats.org/spreadsheetml/2006/main">
  <authors>
    <author>Sumeet Kumar Barua08</author>
  </authors>
  <commentList>
    <comment ref="D2" authorId="0">
      <text>
        <r>
          <rPr>
            <sz val="11"/>
            <color indexed="8"/>
            <rFont val="Helvetica Neue"/>
          </rPr>
          <t>Sumeet Kumar Barua08:
Please enter the dates in either of these formats: 
9/15/2016  or
15-Sep-2016</t>
        </r>
      </text>
    </comment>
    <comment ref="E2" authorId="0">
      <text>
        <r>
          <rPr>
            <sz val="11"/>
            <color indexed="8"/>
            <rFont val="Helvetica Neue"/>
          </rPr>
          <t xml:space="preserve">Sumeet Kumar Barua08:
Please enter the dates in either of these formats: 
9/15/2016  or
15-Sep-2016
</t>
        </r>
      </text>
    </comment>
    <comment ref="I3" authorId="0">
      <text>
        <r>
          <rPr>
            <sz val="11"/>
            <color indexed="8"/>
            <rFont val="Helvetica Neue"/>
          </rPr>
          <t xml:space="preserve">Sumeet Kumar Barua08:
This is the total task estimated in hours for all the user stories </t>
        </r>
      </text>
    </comment>
    <comment ref="J3" authorId="0">
      <text>
        <r>
          <rPr>
            <sz val="11"/>
            <color indexed="8"/>
            <rFont val="Helvetica Neue"/>
          </rPr>
          <t xml:space="preserve">Sumeet Kumar Barua08:
Pending effort hours after completion of day 1 work
</t>
        </r>
      </text>
    </comment>
    <comment ref="K3" authorId="0">
      <text>
        <r>
          <rPr>
            <sz val="11"/>
            <color indexed="8"/>
            <rFont val="Helvetica Neue"/>
          </rPr>
          <t>Sumeet Kumar Barua08:
Pending effort hours after completion of day 2 work</t>
        </r>
      </text>
    </comment>
    <comment ref="L3" authorId="0">
      <text>
        <r>
          <rPr>
            <sz val="11"/>
            <color indexed="8"/>
            <rFont val="Helvetica Neue"/>
          </rPr>
          <t>Sumeet Kumar Barua08:
Pending effort hours after completion of day 3 work</t>
        </r>
      </text>
    </comment>
    <comment ref="M3" authorId="0">
      <text>
        <r>
          <rPr>
            <sz val="11"/>
            <color indexed="8"/>
            <rFont val="Helvetica Neue"/>
          </rPr>
          <t xml:space="preserve">Sumeet Kumar Barua08:
Pending effort hours after completion of day 4 work
</t>
        </r>
      </text>
    </comment>
    <comment ref="N3" authorId="0">
      <text>
        <r>
          <rPr>
            <sz val="11"/>
            <color indexed="8"/>
            <rFont val="Helvetica Neue"/>
          </rPr>
          <t xml:space="preserve">Sumeet Kumar Barua08:
Pending effort hours after completion of day 5 work
</t>
        </r>
      </text>
    </comment>
    <comment ref="O3" authorId="0">
      <text>
        <r>
          <rPr>
            <sz val="11"/>
            <color indexed="8"/>
            <rFont val="Helvetica Neue"/>
          </rPr>
          <t xml:space="preserve">Sumeet Kumar Barua08:
Pending effort hours after completion of day 6 work
</t>
        </r>
      </text>
    </comment>
    <comment ref="P3" authorId="0">
      <text>
        <r>
          <rPr>
            <sz val="11"/>
            <color indexed="8"/>
            <rFont val="Helvetica Neue"/>
          </rPr>
          <t>Sumeet Kumar Barua08:
Pending effort hours after completion of day 7 work</t>
        </r>
      </text>
    </comment>
    <comment ref="Q3" authorId="0">
      <text>
        <r>
          <rPr>
            <sz val="11"/>
            <color indexed="8"/>
            <rFont val="Helvetica Neue"/>
          </rPr>
          <t xml:space="preserve">Sumeet Kumar Barua08:
Pending effort hours after completion of day 8 work
</t>
        </r>
      </text>
    </comment>
    <comment ref="R3" authorId="0">
      <text>
        <r>
          <rPr>
            <sz val="11"/>
            <color indexed="8"/>
            <rFont val="Helvetica Neue"/>
          </rPr>
          <t xml:space="preserve">Sumeet Kumar Barua08:
Pending effort hours after completion of day 9 work
</t>
        </r>
      </text>
    </comment>
    <comment ref="S3" authorId="0">
      <text>
        <r>
          <rPr>
            <sz val="11"/>
            <color indexed="8"/>
            <rFont val="Helvetica Neue"/>
          </rPr>
          <t xml:space="preserve">Sumeet Kumar Barua08:
Pending effort hours after completion of day 10 work
</t>
        </r>
      </text>
    </comment>
    <comment ref="T3" authorId="0">
      <text>
        <r>
          <rPr>
            <sz val="11"/>
            <color indexed="8"/>
            <rFont val="Helvetica Neue"/>
          </rPr>
          <t xml:space="preserve">Sumeet Kumar Barua08:
Pending effort hours after completion of day 11 work
</t>
        </r>
      </text>
    </comment>
    <comment ref="U3" authorId="0">
      <text>
        <r>
          <rPr>
            <sz val="11"/>
            <color indexed="8"/>
            <rFont val="Helvetica Neue"/>
          </rPr>
          <t xml:space="preserve">Sumeet Kumar Barua08:
Pending effort hours after completion of day 12 work
</t>
        </r>
      </text>
    </comment>
    <comment ref="V3" authorId="0">
      <text>
        <r>
          <rPr>
            <sz val="11"/>
            <color indexed="8"/>
            <rFont val="Helvetica Neue"/>
          </rPr>
          <t xml:space="preserve">Sumeet Kumar Barua08:
Pending effort hours after completion of day 13 work
</t>
        </r>
      </text>
    </comment>
    <comment ref="W3" authorId="0">
      <text>
        <r>
          <rPr>
            <sz val="11"/>
            <color indexed="8"/>
            <rFont val="Helvetica Neue"/>
          </rPr>
          <t xml:space="preserve">Sumeet Kumar Barua08:
Pending effort hours after completion of day 14 work
</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<sst xmlns="http://schemas.openxmlformats.org/spreadsheetml/2006/main" uniqueCount="150">
  <si>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</si>
  <si>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</si>
  <si>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</si>
  <si>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</si>
  <si>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Product Backlog</t>
  </si>
  <si>
    <t>Table 1</t>
  </si>
  <si>
    <t>Planned Sprint</t>
  </si>
  <si>
    <t>Actual Sprint</t>
  </si>
  <si>
    <t>US ID</t>
  </si>
  <si>
    <t>User Story Description</t>
  </si>
  <si>
    <t>MOSCOW</t>
  </si>
  <si>
    <t>Dependency</t>
  </si>
  <si>
    <t>Assignee</t>
  </si>
  <si>
    <t>Status</t>
  </si>
  <si>
    <t>Sprint 1</t>
  </si>
  <si>
    <t>US001</t>
  </si>
  <si>
    <t>As a system analyst, I want to study the working of traditional IVR systems so that I can understand how user interaction flows are structured.</t>
  </si>
  <si>
    <t>MUST HAVE</t>
  </si>
  <si>
    <t>Research material and documentation</t>
  </si>
  <si>
    <t>Backend Team</t>
  </si>
  <si>
    <t>Completed</t>
  </si>
  <si>
    <t>US002</t>
  </si>
  <si>
    <t>s a developer, I want to design the system architecture for a hospital IVR service so that lab-related queries can be handled efficiently.</t>
  </si>
  <si>
    <t>System design planning</t>
  </si>
  <si>
    <t>Sprint 2</t>
  </si>
  <si>
    <t>US003</t>
  </si>
  <si>
    <t>As a backend developer, I want to implement a FastAPI backend for the IVR system so that user requests can be processed programmatically.</t>
  </si>
  <si>
    <t>API framework setup</t>
  </si>
  <si>
    <t>US004</t>
  </si>
  <si>
    <t>As a developer, I want to create menu-based IVR options for hospital lab services so that users can retrieve information using keypad inputs.</t>
  </si>
  <si>
    <t>Backend API logic</t>
  </si>
  <si>
    <t>Sprint 3</t>
  </si>
  <si>
    <t>US005</t>
  </si>
  <si>
    <t>As an AI developer, I want to implement intent detection for conversational input so that users can interact with the IVR using natural language instead of keypad inputs.</t>
  </si>
  <si>
    <t>SHOULD HAVE</t>
  </si>
  <si>
    <t>NLP logic implementation</t>
  </si>
  <si>
    <t>US006</t>
  </si>
  <si>
    <t>As a developer, I want to extract patient ID information from user input so that report status can be retrieved automatically.</t>
  </si>
  <si>
    <t>COULD HAVE</t>
  </si>
  <si>
    <t>Pattern matching logic</t>
  </si>
  <si>
    <t>Sprint 4</t>
  </si>
  <si>
    <t>US007</t>
  </si>
  <si>
    <t>As a developer, I want to integrate conversational AI with the existing IVR backend so that both conversational and keypad interactions are supported.</t>
  </si>
  <si>
    <t>Backend integration</t>
  </si>
  <si>
    <t>US008</t>
  </si>
  <si>
    <t>As a developer, I want to test the IVR workflows and conversational interface so that the system performs reliably during demonstrations.</t>
  </si>
  <si>
    <t>System testing</t>
  </si>
  <si>
    <t>Sprint Backlog</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</si>
  <si>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</si>
  <si>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</si>
  <si>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</si>
  <si>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</si>
  <si>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</si>
  <si>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</si>
  <si>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</si>
  <si>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</si>
  <si>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</si>
  <si>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</si>
  <si>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</si>
  <si>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</si>
  <si>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</si>
  <si>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</si>
  <si>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</si>
  <si>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</si>
  <si>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</si>
  <si>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</si>
  <si>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</si>
  <si>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</si>
  <si>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</si>
  <si>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</si>
  <si>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</si>
  <si>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</si>
  <si>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Research existing IVR systems and analyze workflow structure</t>
  </si>
  <si>
    <t>2025-02-02</t>
  </si>
  <si>
    <t>2026-02-05</t>
  </si>
  <si>
    <t>Backend1</t>
  </si>
  <si>
    <t>Research</t>
  </si>
  <si>
    <t>Done</t>
  </si>
  <si>
    <t>✔️</t>
  </si>
  <si>
    <t>T2</t>
  </si>
  <si>
    <t>Document architecture for hospital IVR system</t>
  </si>
  <si>
    <t>2026-02-06</t>
  </si>
  <si>
    <t>2026-02-10</t>
  </si>
  <si>
    <t>Backend2</t>
  </si>
  <si>
    <t>Documentation</t>
  </si>
  <si>
    <t>T3</t>
  </si>
  <si>
    <t>Setup FastAPl project structure and backend environment</t>
  </si>
  <si>
    <t>2026-02-11</t>
  </si>
  <si>
    <t>2026-02-15</t>
  </si>
  <si>
    <t>Backend development</t>
  </si>
  <si>
    <t>T4</t>
  </si>
  <si>
    <t>Implement menu-based IVR logic for lab services</t>
  </si>
  <si>
    <t>2026-02-16</t>
  </si>
  <si>
    <t>2026-02-20</t>
  </si>
  <si>
    <t>T5</t>
  </si>
  <si>
    <t>Develop conversational intent detection logic</t>
  </si>
  <si>
    <t>2025-03-05</t>
  </si>
  <si>
    <t>2026-03-08</t>
  </si>
  <si>
    <t>AI Integration</t>
  </si>
  <si>
    <t>T6</t>
  </si>
  <si>
    <t>Implement patient ID extraction using pattern matching</t>
  </si>
  <si>
    <t>2026-03-09</t>
  </si>
  <si>
    <t>2026-03-12</t>
  </si>
  <si>
    <t>Backend logic</t>
  </si>
  <si>
    <t>T7</t>
  </si>
  <si>
    <t>Integrate conversational interface with IVR menu backend</t>
  </si>
  <si>
    <t>2026-03-13</t>
  </si>
  <si>
    <t>2026-03-15</t>
  </si>
  <si>
    <t>Integration</t>
  </si>
  <si>
    <t>Stand up Meeting</t>
  </si>
  <si>
    <t xml:space="preserve">Sprint </t>
  </si>
  <si>
    <t>Day</t>
  </si>
  <si>
    <t>Impediments</t>
  </si>
  <si>
    <t>Action Taken</t>
  </si>
  <si>
    <t>Difficulty understanding IVR interaction flow</t>
  </si>
  <si>
    <t>Studied documentation and analyzed sample IVR systems</t>
  </si>
  <si>
    <t>Backend endpoint retuning incorrect response</t>
  </si>
  <si>
    <t xml:space="preserve">Debugged FastAPI routes and corrected request structure </t>
  </si>
  <si>
    <t>Conversational input not detecting certain intents</t>
  </si>
  <si>
    <t>Expanded keyword detection and improved intent rules</t>
  </si>
  <si>
    <t>Patient ID extraction failing for some inputs</t>
  </si>
  <si>
    <t>Updated regex pattern to capture numeric IDs</t>
  </si>
  <si>
    <t>Integration issues between conversational logic and IVR backend</t>
  </si>
  <si>
    <t>Adjusted endpoint routing and tested conversational flow</t>
  </si>
  <si>
    <t>Retrospection</t>
  </si>
  <si>
    <t>SL #</t>
  </si>
  <si>
    <t>Sprint #</t>
  </si>
  <si>
    <t>Sprint start date</t>
  </si>
  <si>
    <t>Sprint end date</t>
  </si>
  <si>
    <t xml:space="preserve">Team member name </t>
  </si>
  <si>
    <t>Start Doing</t>
  </si>
  <si>
    <t xml:space="preserve">Stop Doing </t>
  </si>
  <si>
    <t xml:space="preserve">Continue Doing </t>
  </si>
  <si>
    <t>Action taken</t>
  </si>
  <si>
    <t>Documenting architecture clearly</t>
  </si>
  <si>
    <t>Spending too much time on unstructured research</t>
  </si>
  <si>
    <t>Team discussion for planning</t>
  </si>
  <si>
    <t>Created shared architecture notes</t>
  </si>
  <si>
    <t>Implementing backend modules step-by-step</t>
  </si>
  <si>
    <t>Writing untested code</t>
  </si>
  <si>
    <t>API testing during development</t>
  </si>
  <si>
    <t>Introduced regular backend testing</t>
  </si>
  <si>
    <t>Improving conversational interaction design</t>
  </si>
  <si>
    <t>Ignoring edge cases in input</t>
  </si>
  <si>
    <t>Enhancing intent detection logic</t>
  </si>
  <si>
    <t>Added additional conversational rules</t>
  </si>
  <si>
    <t>Preparing system documentation earlier</t>
  </si>
  <si>
    <t>Rushing integration at the end</t>
  </si>
  <si>
    <t>Regular team sync meetings</t>
  </si>
  <si>
    <t>Scheduled weekly review meetings</t>
  </si>
</sst>
</file>

<file path=xl/styles.xml><?xml version="1.0" encoding="utf-8"?>
<styleSheet xmlns="http://schemas.openxmlformats.org/spreadsheetml/2006/main">
  <numFmts count="3">
    <numFmt numFmtId="0" formatCode="General"/>
    <numFmt numFmtId="59" formatCode="d&quot;-&quot;mmm&quot;-&quot;yy"/>
    <numFmt numFmtId="60" formatCode="yyyy-mm-dd"/>
  </numFmts>
  <fonts count="17">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8"/>
      <color indexed="8"/>
      <name val="Arial"/>
    </font>
    <font>
      <sz val="11"/>
      <color indexed="8"/>
      <name val="Helvetica Neue"/>
    </font>
    <font>
      <sz val="11"/>
      <color indexed="8"/>
      <name val="Arial"/>
    </font>
    <font>
      <sz val="12"/>
      <color indexed="8"/>
      <name val="Times Roman"/>
    </font>
    <font>
      <b val="1"/>
      <sz val="12"/>
      <color indexed="8"/>
      <name val="Arial"/>
    </font>
    <font>
      <sz val="9"/>
      <color indexed="8"/>
      <name val="Helvetica"/>
    </font>
    <font>
      <sz val="9"/>
      <color indexed="8"/>
      <name val="Arial"/>
    </font>
    <font>
      <sz val="10"/>
      <color indexed="8"/>
      <name val="Helvetica"/>
    </font>
    <font>
      <sz val="8"/>
      <color indexed="8"/>
      <name val="Arial"/>
    </font>
    <font>
      <b val="1"/>
      <sz val="10"/>
      <color indexed="8"/>
      <name val="Arial"/>
    </font>
    <font>
      <sz val="10"/>
      <color indexed="21"/>
      <name val="Arial"/>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13">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15"/>
      </top>
      <bottom style="thin">
        <color indexed="8"/>
      </bottom>
      <diagonal/>
    </border>
    <border>
      <left/>
      <right/>
      <top style="thin">
        <color indexed="15"/>
      </top>
      <bottom style="thin">
        <color indexed="8"/>
      </bottom>
      <diagonal/>
    </border>
    <border>
      <left/>
      <right/>
      <top style="thin">
        <color indexed="15"/>
      </top>
      <bottom style="medium">
        <color indexed="8"/>
      </bottom>
      <diagonal/>
    </border>
    <border>
      <left/>
      <right style="thin">
        <color indexed="15"/>
      </right>
      <top style="thin">
        <color indexed="15"/>
      </top>
      <bottom style="thin">
        <color indexed="8"/>
      </bottom>
      <diagonal/>
    </border>
    <border>
      <left style="thin">
        <color indexed="15"/>
      </left>
      <right style="medium">
        <color indexed="8"/>
      </right>
      <top style="thin">
        <color indexed="8"/>
      </top>
      <bottom/>
      <diagonal/>
    </border>
    <border>
      <left style="medium">
        <color indexed="8"/>
      </left>
      <right style="thin">
        <color indexed="8"/>
      </right>
      <top style="thin">
        <color indexed="8"/>
      </top>
      <bottom/>
      <diagonal/>
    </border>
    <border>
      <left style="thin">
        <color indexed="8"/>
      </left>
      <right style="thin">
        <color indexed="8"/>
      </right>
      <top style="medium">
        <color indexed="8"/>
      </top>
      <bottom style="thin">
        <color indexed="8"/>
      </bottom>
      <diagonal/>
    </border>
    <border>
      <left style="thin">
        <color indexed="15"/>
      </left>
      <right style="medium">
        <color indexed="8"/>
      </right>
      <top/>
      <bottom style="thin">
        <color indexed="8"/>
      </bottom>
      <diagonal/>
    </border>
    <border>
      <left style="medium">
        <color indexed="8"/>
      </left>
      <right style="thin">
        <color indexed="8"/>
      </right>
      <top/>
      <bottom style="thin">
        <color indexed="8"/>
      </bottom>
      <diagonal/>
    </border>
  </borders>
  <cellStyleXfs count="1">
    <xf numFmtId="0" fontId="0" applyNumberFormat="0" applyFont="1" applyFill="0" applyBorder="0" applyAlignment="1" applyProtection="0">
      <alignment vertical="bottom"/>
    </xf>
  </cellStyleXfs>
  <cellXfs count="5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49" fontId="6" fillId="4" borderId="2" applyNumberFormat="1" applyFont="1" applyFill="1" applyBorder="1" applyAlignment="1" applyProtection="0">
      <alignment horizontal="center" vertical="center" wrapText="1"/>
    </xf>
    <xf numFmtId="49" fontId="8" fillId="5" borderId="1" applyNumberFormat="1" applyFont="1" applyFill="1" applyBorder="1" applyAlignment="1" applyProtection="0">
      <alignment horizontal="center" vertical="center" wrapText="1"/>
    </xf>
    <xf numFmtId="49" fontId="8" borderId="1" applyNumberFormat="1" applyFont="1" applyFill="0" applyBorder="1" applyAlignment="1" applyProtection="0">
      <alignment horizontal="center" vertical="center"/>
    </xf>
    <xf numFmtId="49" fontId="9" fillId="5" borderId="3" applyNumberFormat="1" applyFont="1" applyFill="1" applyBorder="1" applyAlignment="1" applyProtection="0">
      <alignment horizontal="center" vertical="center"/>
    </xf>
    <xf numFmtId="49" fontId="9" fillId="5" borderId="1" applyNumberFormat="1" applyFont="1" applyFill="1" applyBorder="1" applyAlignment="1" applyProtection="0">
      <alignment horizontal="center" vertical="center" wrapText="1"/>
    </xf>
    <xf numFmtId="49" fontId="9" fillId="5" borderId="1" applyNumberFormat="1" applyFont="1" applyFill="1" applyBorder="1" applyAlignment="1" applyProtection="0">
      <alignment horizontal="center" vertical="center"/>
    </xf>
    <xf numFmtId="0" fontId="8" fillId="5" borderId="1" applyNumberFormat="0" applyFont="1" applyFill="1" applyBorder="1" applyAlignment="1" applyProtection="0">
      <alignment horizontal="center" vertical="center" wrapText="1"/>
    </xf>
    <xf numFmtId="0" fontId="8" borderId="1" applyNumberFormat="0" applyFont="1" applyFill="0" applyBorder="1" applyAlignment="1" applyProtection="0">
      <alignment vertical="bottom"/>
    </xf>
    <xf numFmtId="0" fontId="8" fillId="5" borderId="1" applyNumberFormat="0" applyFont="1" applyFill="1" applyBorder="1" applyAlignment="1" applyProtection="0">
      <alignment horizontal="left" vertical="center"/>
    </xf>
    <xf numFmtId="0" fontId="0" applyNumberFormat="1" applyFont="1" applyFill="0" applyBorder="0" applyAlignment="1" applyProtection="0">
      <alignment vertical="bottom"/>
    </xf>
    <xf numFmtId="49" fontId="0" fillId="6" borderId="4" applyNumberFormat="1" applyFont="1" applyFill="1" applyBorder="1" applyAlignment="1" applyProtection="0">
      <alignment vertical="center"/>
    </xf>
    <xf numFmtId="0" fontId="0" fillId="6" borderId="5" applyNumberFormat="0" applyFont="1" applyFill="1" applyBorder="1" applyAlignment="1" applyProtection="0">
      <alignment vertical="center"/>
    </xf>
    <xf numFmtId="0" fontId="0" fillId="6" borderId="6" applyNumberFormat="0" applyFont="1" applyFill="1" applyBorder="1" applyAlignment="1" applyProtection="0">
      <alignment vertical="center"/>
    </xf>
    <xf numFmtId="0" fontId="0" fillId="6" borderId="7" applyNumberFormat="0" applyFont="1" applyFill="1" applyBorder="1" applyAlignment="1" applyProtection="0">
      <alignment vertical="center"/>
    </xf>
    <xf numFmtId="49" fontId="6" fillId="7" borderId="8" applyNumberFormat="1" applyFont="1" applyFill="1" applyBorder="1" applyAlignment="1" applyProtection="0">
      <alignment horizontal="center" vertical="center" wrapText="1"/>
    </xf>
    <xf numFmtId="49" fontId="6" fillId="7" borderId="9" applyNumberFormat="1" applyFont="1" applyFill="1" applyBorder="1" applyAlignment="1" applyProtection="0">
      <alignment horizontal="center" vertical="center" wrapText="1"/>
    </xf>
    <xf numFmtId="49" fontId="6" fillId="7" borderId="2" applyNumberFormat="1" applyFont="1" applyFill="1" applyBorder="1" applyAlignment="1" applyProtection="0">
      <alignment horizontal="center" vertical="center" wrapText="1"/>
    </xf>
    <xf numFmtId="49" fontId="6" fillId="7" borderId="10" applyNumberFormat="1" applyFont="1" applyFill="1" applyBorder="1" applyAlignment="1" applyProtection="0">
      <alignment horizontal="center" vertical="center" wrapText="1"/>
    </xf>
    <xf numFmtId="49" fontId="6" fillId="7" borderId="1" applyNumberFormat="1" applyFont="1" applyFill="1" applyBorder="1" applyAlignment="1" applyProtection="0">
      <alignment horizontal="center" vertical="center" wrapText="1"/>
    </xf>
    <xf numFmtId="49" fontId="6" fillId="7" borderId="11" applyNumberFormat="1" applyFont="1" applyFill="1" applyBorder="1" applyAlignment="1" applyProtection="0">
      <alignment horizontal="center" vertical="center" wrapText="1"/>
    </xf>
    <xf numFmtId="0" fontId="6" fillId="7" borderId="12" applyNumberFormat="0" applyFont="1" applyFill="1" applyBorder="1" applyAlignment="1" applyProtection="0">
      <alignment horizontal="center" vertical="center" wrapText="1"/>
    </xf>
    <xf numFmtId="0" fontId="6" fillId="7" borderId="3" applyNumberFormat="0" applyFont="1" applyFill="1" applyBorder="1" applyAlignment="1" applyProtection="0">
      <alignment horizontal="center" vertical="center" wrapText="1"/>
    </xf>
    <xf numFmtId="59" fontId="6" fillId="7" borderId="3" applyNumberFormat="1" applyFont="1" applyFill="1" applyBorder="1" applyAlignment="1" applyProtection="0">
      <alignment horizontal="center" vertical="center" wrapText="1"/>
    </xf>
    <xf numFmtId="0" fontId="6" fillId="8" borderId="1" applyNumberFormat="1" applyFont="1" applyFill="1" applyBorder="1" applyAlignment="1" applyProtection="0">
      <alignment horizontal="center" vertical="center" wrapText="1"/>
    </xf>
    <xf numFmtId="49" fontId="10" fillId="9" borderId="1" applyNumberFormat="1" applyFont="1" applyFill="1" applyBorder="1" applyAlignment="1" applyProtection="0">
      <alignment horizontal="center" vertical="center" wrapText="1"/>
    </xf>
    <xf numFmtId="0" fontId="10" fillId="9" borderId="1" applyNumberFormat="0" applyFont="1" applyFill="1" applyBorder="1" applyAlignment="1" applyProtection="0">
      <alignment horizontal="center" vertical="center" wrapText="1"/>
    </xf>
    <xf numFmtId="49" fontId="0" fillId="5" borderId="1" applyNumberFormat="1" applyFont="1" applyFill="1" applyBorder="1" applyAlignment="1" applyProtection="0">
      <alignment horizontal="center" vertical="center"/>
    </xf>
    <xf numFmtId="49" fontId="0" fillId="5" borderId="1" applyNumberFormat="1" applyFont="1" applyFill="1" applyBorder="1" applyAlignment="1" applyProtection="0">
      <alignment horizontal="center" vertical="center" wrapText="1"/>
    </xf>
    <xf numFmtId="49" fontId="11" fillId="5" borderId="1" applyNumberFormat="1" applyFont="1" applyFill="1" applyBorder="1" applyAlignment="1" applyProtection="0">
      <alignment horizontal="center" vertical="center" wrapText="1"/>
    </xf>
    <xf numFmtId="49" fontId="12" fillId="5" borderId="1" applyNumberFormat="1" applyFont="1" applyFill="1" applyBorder="1" applyAlignment="1" applyProtection="0">
      <alignment horizontal="center" vertical="center" wrapText="1"/>
    </xf>
    <xf numFmtId="0" fontId="0" fillId="5" borderId="1" applyNumberFormat="1" applyFont="1" applyFill="1" applyBorder="1" applyAlignment="1" applyProtection="0">
      <alignment horizontal="center" vertical="center"/>
    </xf>
    <xf numFmtId="0" fontId="0" fillId="5" borderId="1" applyNumberFormat="0" applyFont="1" applyFill="1" applyBorder="1" applyAlignment="1" applyProtection="0">
      <alignment horizontal="center" vertical="center"/>
    </xf>
    <xf numFmtId="49" fontId="13" fillId="5" borderId="1" applyNumberFormat="1" applyFont="1" applyFill="1" applyBorder="1" applyAlignment="1" applyProtection="0">
      <alignment horizontal="center" vertical="center" wrapText="1"/>
    </xf>
    <xf numFmtId="49" fontId="14" fillId="5" borderId="1" applyNumberFormat="1" applyFont="1" applyFill="1" applyBorder="1" applyAlignment="1" applyProtection="0">
      <alignment horizontal="center" vertical="center" wrapText="1"/>
    </xf>
    <xf numFmtId="0" fontId="0" fillId="5" borderId="1" applyNumberFormat="0" applyFont="1" applyFill="1" applyBorder="1" applyAlignment="1" applyProtection="0">
      <alignment vertical="center"/>
    </xf>
    <xf numFmtId="59" fontId="14" fillId="5" borderId="1" applyNumberFormat="1" applyFont="1" applyFill="1" applyBorder="1" applyAlignment="1" applyProtection="0">
      <alignment horizontal="center" vertical="center" wrapText="1"/>
    </xf>
    <xf numFmtId="0" fontId="0" fillId="5" borderId="1" applyNumberFormat="0" applyFont="1" applyFill="1" applyBorder="1" applyAlignment="1" applyProtection="0">
      <alignment horizontal="center" vertical="center" wrapText="1"/>
    </xf>
    <xf numFmtId="0" fontId="12" fillId="5" borderId="1" applyNumberFormat="0"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6" fillId="10" borderId="1" applyNumberFormat="1" applyFont="1" applyFill="1" applyBorder="1" applyAlignment="1" applyProtection="0">
      <alignment horizontal="center" vertical="center" wrapText="1"/>
    </xf>
    <xf numFmtId="0" fontId="0" fillId="5" borderId="1" applyNumberFormat="0" applyFont="1" applyFill="1" applyBorder="1" applyAlignment="1" applyProtection="0">
      <alignment horizontal="left" vertical="center" wrapText="1"/>
    </xf>
    <xf numFmtId="0" fontId="0" applyNumberFormat="1" applyFont="1" applyFill="0" applyBorder="0" applyAlignment="1" applyProtection="0">
      <alignment vertical="bottom"/>
    </xf>
    <xf numFmtId="49" fontId="15" fillId="11" borderId="1" applyNumberFormat="1" applyFont="1" applyFill="1" applyBorder="1" applyAlignment="1" applyProtection="0">
      <alignment horizontal="center" vertical="center" wrapText="1"/>
    </xf>
    <xf numFmtId="60" fontId="0" fillId="5" borderId="1" applyNumberFormat="1" applyFont="1" applyFill="1" applyBorder="1" applyAlignment="1" applyProtection="0">
      <alignment horizontal="center" vertical="center"/>
    </xf>
    <xf numFmtId="0" fontId="0" fillId="5" borderId="1" applyNumberFormat="0" applyFont="1" applyFill="1" applyBorder="1" applyAlignment="1" applyProtection="0">
      <alignment vertical="bottom"/>
    </xf>
    <xf numFmtId="0" fontId="16" fillId="5" borderId="1" applyNumberFormat="0" applyFont="1" applyFill="1" applyBorder="1" applyAlignment="1" applyProtection="0">
      <alignment horizontal="left" vertical="top" wrapText="1"/>
    </xf>
    <xf numFmtId="0" fontId="0" fillId="5" borderId="1" applyNumberFormat="0" applyFont="1" applyFill="1"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9900"/>
      <rgbColor rgb="ffffffff"/>
      <rgbColor rgb="ffffc000"/>
      <rgbColor rgb="ffaaaaaa"/>
      <rgbColor rgb="ff969696"/>
      <rgbColor rgb="ff92d050"/>
      <rgbColor rgb="ffccffcc"/>
      <rgbColor rgb="ff1fb714"/>
      <rgbColor rgb="ff33cccc"/>
      <rgbColor rgb="ff00641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47</v>
      </c>
      <c r="C11" s="3"/>
      <c r="D11" s="3"/>
    </row>
    <row r="12">
      <c r="B12" s="4"/>
      <c r="C12" t="s" s="4">
        <v>5</v>
      </c>
      <c r="D12" t="s" s="5">
        <v>47</v>
      </c>
    </row>
    <row r="13">
      <c r="B13" t="s" s="3">
        <v>109</v>
      </c>
      <c r="C13" s="3"/>
      <c r="D13" s="3"/>
    </row>
    <row r="14">
      <c r="B14" s="4"/>
      <c r="C14" t="s" s="4">
        <v>5</v>
      </c>
      <c r="D14" t="s" s="5">
        <v>109</v>
      </c>
    </row>
    <row r="15">
      <c r="B15" t="s" s="3">
        <v>124</v>
      </c>
      <c r="C15" s="3"/>
      <c r="D15" s="3"/>
    </row>
    <row r="16">
      <c r="B16" s="4"/>
      <c r="C16" t="s" s="4">
        <v>5</v>
      </c>
      <c r="D16" t="s" s="5">
        <v>124</v>
      </c>
    </row>
  </sheetData>
  <mergeCells count="1">
    <mergeCell ref="B3:D3"/>
  </mergeCells>
  <hyperlinks>
    <hyperlink ref="D10" location="'Product Backlog'!R1C1" tooltip="" display="Product Backlog"/>
    <hyperlink ref="D12" location="'Sprint Backlog'!R1C1" tooltip="" display="Sprint Backlog"/>
    <hyperlink ref="D14" location="'Stand up Meeting'!R1C1" tooltip="" display="Stand up Meeting"/>
    <hyperlink ref="D16" location="'Retrospection'!R1C1" tooltip="" display="Retrospection"/>
  </hyperlinks>
</worksheet>
</file>

<file path=xl/worksheets/sheet2.xml><?xml version="1.0" encoding="utf-8"?>
<worksheet xmlns:r="http://schemas.openxmlformats.org/officeDocument/2006/relationships" xmlns="http://schemas.openxmlformats.org/spreadsheetml/2006/main">
  <dimension ref="A1:H11"/>
  <sheetViews>
    <sheetView workbookViewId="0" showGridLines="0" defaultGridColor="1"/>
  </sheetViews>
  <sheetFormatPr defaultColWidth="8.83333" defaultRowHeight="12.75" customHeight="1" outlineLevelRow="0" outlineLevelCol="0"/>
  <cols>
    <col min="1" max="1" width="9.64062" style="6" customWidth="1"/>
    <col min="2" max="2" width="9.35156" style="6" customWidth="1"/>
    <col min="3" max="3" width="8.53906" style="6" customWidth="1"/>
    <col min="4" max="4" width="136.172" style="6" customWidth="1"/>
    <col min="5" max="5" width="16.7188" style="6" customWidth="1"/>
    <col min="6" max="6" width="31.9688" style="6" customWidth="1"/>
    <col min="7" max="7" width="16.3359" style="6" customWidth="1"/>
    <col min="8" max="8" width="12" style="6" customWidth="1"/>
    <col min="9" max="16384" width="8.85156" style="6" customWidth="1"/>
  </cols>
  <sheetData>
    <row r="1" ht="75.75" customHeight="1">
      <c r="A1" t="s" s="7">
        <v>6</v>
      </c>
      <c r="B1" t="s" s="7">
        <v>7</v>
      </c>
      <c r="C1" t="s" s="7">
        <v>8</v>
      </c>
      <c r="D1" t="s" s="8">
        <v>9</v>
      </c>
      <c r="E1" t="s" s="7">
        <v>10</v>
      </c>
      <c r="F1" t="s" s="7">
        <v>11</v>
      </c>
      <c r="G1" t="s" s="7">
        <v>12</v>
      </c>
      <c r="H1" t="s" s="7">
        <v>13</v>
      </c>
    </row>
    <row r="2" ht="32.5" customHeight="1">
      <c r="A2" t="s" s="9">
        <v>14</v>
      </c>
      <c r="B2" t="s" s="9">
        <v>14</v>
      </c>
      <c r="C2" t="s" s="10">
        <v>15</v>
      </c>
      <c r="D2" t="s" s="11">
        <v>16</v>
      </c>
      <c r="E2" t="s" s="9">
        <v>17</v>
      </c>
      <c r="F2" t="s" s="12">
        <v>18</v>
      </c>
      <c r="G2" t="s" s="9">
        <v>19</v>
      </c>
      <c r="H2" t="s" s="9">
        <v>20</v>
      </c>
    </row>
    <row r="3" ht="32.75" customHeight="1">
      <c r="A3" t="s" s="9">
        <v>14</v>
      </c>
      <c r="B3" t="s" s="9">
        <v>14</v>
      </c>
      <c r="C3" t="s" s="10">
        <v>21</v>
      </c>
      <c r="D3" t="s" s="13">
        <v>22</v>
      </c>
      <c r="E3" t="s" s="9">
        <v>17</v>
      </c>
      <c r="F3" t="s" s="12">
        <v>23</v>
      </c>
      <c r="G3" t="s" s="9">
        <v>19</v>
      </c>
      <c r="H3" t="s" s="9">
        <v>20</v>
      </c>
    </row>
    <row r="4" ht="32.75" customHeight="1">
      <c r="A4" t="s" s="9">
        <v>24</v>
      </c>
      <c r="B4" t="s" s="9">
        <v>24</v>
      </c>
      <c r="C4" t="s" s="10">
        <v>25</v>
      </c>
      <c r="D4" t="s" s="13">
        <v>26</v>
      </c>
      <c r="E4" t="s" s="9">
        <v>17</v>
      </c>
      <c r="F4" t="s" s="12">
        <v>27</v>
      </c>
      <c r="G4" t="s" s="9">
        <v>19</v>
      </c>
      <c r="H4" t="s" s="9">
        <v>20</v>
      </c>
    </row>
    <row r="5" ht="33.25" customHeight="1">
      <c r="A5" t="s" s="9">
        <v>24</v>
      </c>
      <c r="B5" t="s" s="9">
        <v>24</v>
      </c>
      <c r="C5" t="s" s="10">
        <v>28</v>
      </c>
      <c r="D5" t="s" s="13">
        <v>29</v>
      </c>
      <c r="E5" t="s" s="9">
        <v>17</v>
      </c>
      <c r="F5" t="s" s="9">
        <v>30</v>
      </c>
      <c r="G5" t="s" s="9">
        <v>19</v>
      </c>
      <c r="H5" t="s" s="9">
        <v>20</v>
      </c>
    </row>
    <row r="6" ht="33" customHeight="1">
      <c r="A6" t="s" s="9">
        <v>31</v>
      </c>
      <c r="B6" t="s" s="9">
        <v>31</v>
      </c>
      <c r="C6" t="s" s="10">
        <v>32</v>
      </c>
      <c r="D6" t="s" s="13">
        <v>33</v>
      </c>
      <c r="E6" t="s" s="9">
        <v>34</v>
      </c>
      <c r="F6" t="s" s="9">
        <v>35</v>
      </c>
      <c r="G6" t="s" s="9">
        <v>19</v>
      </c>
      <c r="H6" t="s" s="9">
        <v>20</v>
      </c>
    </row>
    <row r="7" ht="33" customHeight="1">
      <c r="A7" t="s" s="9">
        <v>31</v>
      </c>
      <c r="B7" t="s" s="9">
        <v>31</v>
      </c>
      <c r="C7" t="s" s="10">
        <v>36</v>
      </c>
      <c r="D7" t="s" s="13">
        <v>37</v>
      </c>
      <c r="E7" t="s" s="9">
        <v>38</v>
      </c>
      <c r="F7" t="s" s="9">
        <v>39</v>
      </c>
      <c r="G7" t="s" s="9">
        <v>19</v>
      </c>
      <c r="H7" t="s" s="9">
        <v>20</v>
      </c>
    </row>
    <row r="8" ht="33" customHeight="1">
      <c r="A8" t="s" s="9">
        <v>40</v>
      </c>
      <c r="B8" t="s" s="9">
        <v>40</v>
      </c>
      <c r="C8" t="s" s="10">
        <v>41</v>
      </c>
      <c r="D8" t="s" s="13">
        <v>42</v>
      </c>
      <c r="E8" t="s" s="9">
        <v>17</v>
      </c>
      <c r="F8" t="s" s="9">
        <v>43</v>
      </c>
      <c r="G8" t="s" s="9">
        <v>19</v>
      </c>
      <c r="H8" t="s" s="9">
        <v>20</v>
      </c>
    </row>
    <row r="9" ht="33" customHeight="1">
      <c r="A9" t="s" s="9">
        <v>40</v>
      </c>
      <c r="B9" t="s" s="9">
        <v>40</v>
      </c>
      <c r="C9" t="s" s="10">
        <v>44</v>
      </c>
      <c r="D9" t="s" s="13">
        <v>45</v>
      </c>
      <c r="E9" t="s" s="9">
        <v>34</v>
      </c>
      <c r="F9" t="s" s="9">
        <v>46</v>
      </c>
      <c r="G9" t="s" s="9">
        <v>19</v>
      </c>
      <c r="H9" t="s" s="9">
        <v>20</v>
      </c>
    </row>
    <row r="10" ht="14.6" customHeight="1">
      <c r="A10" s="14"/>
      <c r="B10" s="14"/>
      <c r="C10" s="15"/>
      <c r="D10" s="16"/>
      <c r="E10" s="14"/>
      <c r="F10" s="14"/>
      <c r="G10" s="14"/>
      <c r="H10" s="14"/>
    </row>
    <row r="11" ht="14.6" customHeight="1">
      <c r="A11" s="14"/>
      <c r="B11" s="14"/>
      <c r="C11" s="15"/>
      <c r="D11" s="16"/>
      <c r="E11" s="14"/>
      <c r="F11" s="14"/>
      <c r="G11" s="14"/>
      <c r="H11" s="14"/>
    </row>
  </sheetData>
  <dataValidations count="2">
    <dataValidation type="list" allowBlank="1" showInputMessage="1" showErrorMessage="1" sqref="E2:E11">
      <formula1>"MUST HAVE,SHOULD HAVE,COULD HAVE,WON'T HAVE"</formula1>
    </dataValidation>
    <dataValidation type="list" allowBlank="1" showInputMessage="1" showErrorMessage="1" sqref="H10:H11">
      <formula1>"1- Not Started,2- In Progress,3- Completed"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dimension ref="A1:W15"/>
  <sheetViews>
    <sheetView workbookViewId="0" showGridLines="0" defaultGridColor="1"/>
  </sheetViews>
  <sheetFormatPr defaultColWidth="8.83333" defaultRowHeight="11.25" customHeight="1" outlineLevelRow="0" outlineLevelCol="0"/>
  <cols>
    <col min="1" max="1" width="10" style="17" customWidth="1"/>
    <col min="2" max="2" width="9.67188" style="17" customWidth="1"/>
    <col min="3" max="3" width="48.1172" style="17" customWidth="1"/>
    <col min="4" max="5" width="11.5" style="17" customWidth="1"/>
    <col min="6" max="6" width="10.7578" style="17" customWidth="1"/>
    <col min="7" max="7" width="17" style="17" customWidth="1"/>
    <col min="8" max="8" width="11.4375" style="17" customWidth="1"/>
    <col min="9" max="23" width="9.17188" style="17" customWidth="1"/>
    <col min="24" max="16384" width="8.85156" style="17" customWidth="1"/>
  </cols>
  <sheetData>
    <row r="1" ht="18.75" customHeight="1">
      <c r="A1" t="s" s="18">
        <v>48</v>
      </c>
      <c r="B1" s="19"/>
      <c r="C1" s="19"/>
      <c r="D1" s="19"/>
      <c r="E1" s="19"/>
      <c r="F1" s="19"/>
      <c r="G1" s="19"/>
      <c r="H1" s="19"/>
      <c r="I1" s="20"/>
      <c r="J1" s="19"/>
      <c r="K1" s="19"/>
      <c r="L1" s="19"/>
      <c r="M1" s="19"/>
      <c r="N1" s="19"/>
      <c r="O1" s="19"/>
      <c r="P1" s="19"/>
      <c r="Q1" s="19"/>
      <c r="R1" s="19"/>
      <c r="S1" s="19"/>
      <c r="T1" s="19"/>
      <c r="U1" s="19"/>
      <c r="V1" s="19"/>
      <c r="W1" s="21"/>
    </row>
    <row r="2" ht="45.75" customHeight="1">
      <c r="A2" t="s" s="22">
        <v>8</v>
      </c>
      <c r="B2" t="s" s="23">
        <v>49</v>
      </c>
      <c r="C2" t="s" s="24">
        <v>50</v>
      </c>
      <c r="D2" t="s" s="24">
        <v>51</v>
      </c>
      <c r="E2" t="s" s="24">
        <v>52</v>
      </c>
      <c r="F2" t="s" s="24">
        <v>53</v>
      </c>
      <c r="G2" t="s" s="24">
        <v>54</v>
      </c>
      <c r="H2" t="s" s="24">
        <v>13</v>
      </c>
      <c r="I2" t="s" s="25">
        <v>55</v>
      </c>
      <c r="J2" t="s" s="26">
        <v>56</v>
      </c>
      <c r="K2" t="s" s="26">
        <v>57</v>
      </c>
      <c r="L2" t="s" s="26">
        <v>58</v>
      </c>
      <c r="M2" t="s" s="26">
        <v>59</v>
      </c>
      <c r="N2" t="s" s="26">
        <v>60</v>
      </c>
      <c r="O2" t="s" s="26">
        <v>61</v>
      </c>
      <c r="P2" t="s" s="26">
        <v>62</v>
      </c>
      <c r="Q2" t="s" s="26">
        <v>63</v>
      </c>
      <c r="R2" t="s" s="26">
        <v>64</v>
      </c>
      <c r="S2" t="s" s="26">
        <v>65</v>
      </c>
      <c r="T2" t="s" s="26">
        <v>66</v>
      </c>
      <c r="U2" t="s" s="26">
        <v>67</v>
      </c>
      <c r="V2" t="s" s="26">
        <v>68</v>
      </c>
      <c r="W2" t="s" s="26">
        <v>69</v>
      </c>
    </row>
    <row r="3" ht="30" customHeight="1">
      <c r="A3" s="27"/>
      <c r="B3" s="28"/>
      <c r="C3" s="29"/>
      <c r="D3" s="29"/>
      <c r="E3" s="30"/>
      <c r="F3" s="29"/>
      <c r="G3" s="29"/>
      <c r="H3" s="29"/>
      <c r="I3" s="31" cm="1">
        <f t="array" ref="I3">SUM(I5:I15)</f>
        <v>60</v>
      </c>
      <c r="J3" s="31" cm="1">
        <f t="array" ref="J3">SUM(J5:J15)</f>
        <v>0</v>
      </c>
      <c r="K3" s="31" cm="1">
        <f t="array" ref="K3">SUM(K5:K15)</f>
        <v>0</v>
      </c>
      <c r="L3" s="31" cm="1">
        <f t="array" ref="L3">SUM(L5:L15)</f>
        <v>0</v>
      </c>
      <c r="M3" s="31" cm="1">
        <f t="array" ref="M3">SUM(M5:M15)</f>
        <v>0</v>
      </c>
      <c r="N3" s="31" cm="1">
        <f t="array" ref="N3">SUM(N5:N15)</f>
        <v>0</v>
      </c>
      <c r="O3" s="31" cm="1">
        <f t="array" ref="O3">SUM(O5:O15)</f>
        <v>0</v>
      </c>
      <c r="P3" s="31" cm="1">
        <f t="array" ref="P3">SUM(P5:P15)</f>
        <v>0</v>
      </c>
      <c r="Q3" s="31" cm="1">
        <f t="array" ref="Q3">SUM(Q5:Q15)</f>
        <v>0</v>
      </c>
      <c r="R3" s="31" cm="1">
        <f t="array" ref="R3">SUM(R5:R15)</f>
        <v>0</v>
      </c>
      <c r="S3" s="31" cm="1">
        <f t="array" ref="S3">SUM(S5:S15)</f>
        <v>0</v>
      </c>
      <c r="T3" s="31" cm="1">
        <f t="array" ref="T3">SUM(T5:T15)</f>
        <v>0</v>
      </c>
      <c r="U3" s="31" cm="1">
        <f t="array" ref="U3">SUM(U5:U15)</f>
        <v>0</v>
      </c>
      <c r="V3" s="31" cm="1">
        <f t="array" ref="V3">SUM(V5:V15)</f>
        <v>0</v>
      </c>
      <c r="W3" s="31" cm="1">
        <f t="array" ref="W3">SUM(W5:W15)</f>
        <v>0</v>
      </c>
    </row>
    <row r="4" ht="33.75" customHeight="1">
      <c r="A4" t="s" s="32">
        <v>70</v>
      </c>
      <c r="B4" s="33"/>
      <c r="C4" s="33"/>
      <c r="D4" s="33"/>
      <c r="E4" s="33"/>
      <c r="F4" s="33"/>
      <c r="G4" s="33"/>
      <c r="H4" s="33"/>
      <c r="I4" s="33"/>
      <c r="J4" s="33"/>
      <c r="K4" s="33"/>
      <c r="L4" s="33"/>
      <c r="M4" s="33"/>
      <c r="N4" s="33"/>
      <c r="O4" s="33"/>
      <c r="P4" s="33"/>
      <c r="Q4" s="33"/>
      <c r="R4" s="33"/>
      <c r="S4" s="33"/>
      <c r="T4" s="33"/>
      <c r="U4" s="33"/>
      <c r="V4" s="33"/>
      <c r="W4" s="33"/>
    </row>
    <row r="5" ht="29.75" customHeight="1">
      <c r="A5" t="s" s="34">
        <v>15</v>
      </c>
      <c r="B5" t="s" s="35">
        <v>71</v>
      </c>
      <c r="C5" t="s" s="36">
        <v>72</v>
      </c>
      <c r="D5" t="s" s="35">
        <v>73</v>
      </c>
      <c r="E5" t="s" s="35">
        <v>74</v>
      </c>
      <c r="F5" t="s" s="35">
        <v>75</v>
      </c>
      <c r="G5" t="s" s="35">
        <v>76</v>
      </c>
      <c r="H5" t="s" s="37">
        <v>77</v>
      </c>
      <c r="I5" s="38">
        <v>6</v>
      </c>
      <c r="J5" s="39"/>
      <c r="K5" t="s" s="34">
        <v>78</v>
      </c>
      <c r="L5" t="s" s="34">
        <v>78</v>
      </c>
      <c r="M5" s="39"/>
      <c r="N5" t="s" s="34">
        <v>78</v>
      </c>
      <c r="O5" t="s" s="34">
        <v>78</v>
      </c>
      <c r="P5" s="39"/>
      <c r="Q5" s="39"/>
      <c r="R5" s="39"/>
      <c r="S5" s="39"/>
      <c r="T5" s="39"/>
      <c r="U5" s="39"/>
      <c r="V5" s="39"/>
      <c r="W5" s="39"/>
    </row>
    <row r="6" ht="29.75" customHeight="1">
      <c r="A6" t="s" s="34">
        <v>21</v>
      </c>
      <c r="B6" t="s" s="35">
        <v>79</v>
      </c>
      <c r="C6" t="s" s="36">
        <v>80</v>
      </c>
      <c r="D6" t="s" s="35">
        <v>81</v>
      </c>
      <c r="E6" t="s" s="35">
        <v>82</v>
      </c>
      <c r="F6" t="s" s="35">
        <v>83</v>
      </c>
      <c r="G6" t="s" s="35">
        <v>84</v>
      </c>
      <c r="H6" t="s" s="37">
        <v>77</v>
      </c>
      <c r="I6" s="38">
        <v>8</v>
      </c>
      <c r="J6" s="39"/>
      <c r="K6" s="39"/>
      <c r="L6" t="s" s="34">
        <v>78</v>
      </c>
      <c r="M6" t="s" s="34">
        <v>78</v>
      </c>
      <c r="N6" t="s" s="34">
        <v>78</v>
      </c>
      <c r="O6" t="s" s="34">
        <v>78</v>
      </c>
      <c r="P6" s="39"/>
      <c r="Q6" s="39"/>
      <c r="R6" s="39"/>
      <c r="S6" s="39"/>
      <c r="T6" s="39"/>
      <c r="U6" s="39"/>
      <c r="V6" s="39"/>
      <c r="W6" s="39"/>
    </row>
    <row r="7" ht="29.5" customHeight="1">
      <c r="A7" t="s" s="34">
        <v>25</v>
      </c>
      <c r="B7" t="s" s="35">
        <v>85</v>
      </c>
      <c r="C7" t="s" s="35">
        <v>86</v>
      </c>
      <c r="D7" t="s" s="35">
        <v>87</v>
      </c>
      <c r="E7" t="s" s="35">
        <v>88</v>
      </c>
      <c r="F7" t="s" s="35">
        <v>75</v>
      </c>
      <c r="G7" t="s" s="35">
        <v>89</v>
      </c>
      <c r="H7" t="s" s="37">
        <v>77</v>
      </c>
      <c r="I7" s="38">
        <v>10</v>
      </c>
      <c r="J7" s="39"/>
      <c r="K7" t="s" s="34">
        <v>78</v>
      </c>
      <c r="L7" t="s" s="34">
        <v>78</v>
      </c>
      <c r="M7" t="s" s="34">
        <v>78</v>
      </c>
      <c r="N7" t="s" s="34">
        <v>78</v>
      </c>
      <c r="O7" s="39"/>
      <c r="P7" s="39"/>
      <c r="Q7" s="39"/>
      <c r="R7" s="39"/>
      <c r="S7" s="39"/>
      <c r="T7" s="39"/>
      <c r="U7" s="39"/>
      <c r="V7" s="39"/>
      <c r="W7" s="39"/>
    </row>
    <row r="8" ht="29.75" customHeight="1">
      <c r="A8" t="s" s="34">
        <v>28</v>
      </c>
      <c r="B8" t="s" s="35">
        <v>90</v>
      </c>
      <c r="C8" t="s" s="40">
        <v>91</v>
      </c>
      <c r="D8" t="s" s="35">
        <v>92</v>
      </c>
      <c r="E8" t="s" s="35">
        <v>93</v>
      </c>
      <c r="F8" t="s" s="35">
        <v>83</v>
      </c>
      <c r="G8" t="s" s="35">
        <v>89</v>
      </c>
      <c r="H8" t="s" s="37">
        <v>77</v>
      </c>
      <c r="I8" s="38">
        <v>12</v>
      </c>
      <c r="J8" t="s" s="34">
        <v>78</v>
      </c>
      <c r="K8" t="s" s="34">
        <v>78</v>
      </c>
      <c r="L8" s="39"/>
      <c r="M8" t="s" s="34">
        <v>78</v>
      </c>
      <c r="N8" s="39"/>
      <c r="O8" t="s" s="34">
        <v>78</v>
      </c>
      <c r="P8" t="s" s="34">
        <v>78</v>
      </c>
      <c r="Q8" t="s" s="34">
        <v>78</v>
      </c>
      <c r="R8" t="s" s="34">
        <v>78</v>
      </c>
      <c r="S8" s="39"/>
      <c r="T8" s="39"/>
      <c r="U8" s="39"/>
      <c r="V8" s="39"/>
      <c r="W8" s="39"/>
    </row>
    <row r="9" ht="30" customHeight="1">
      <c r="A9" t="s" s="34">
        <v>32</v>
      </c>
      <c r="B9" t="s" s="35">
        <v>94</v>
      </c>
      <c r="C9" t="s" s="36">
        <v>95</v>
      </c>
      <c r="D9" t="s" s="35">
        <v>96</v>
      </c>
      <c r="E9" t="s" s="35">
        <v>97</v>
      </c>
      <c r="F9" t="s" s="35">
        <v>75</v>
      </c>
      <c r="G9" t="s" s="35">
        <v>98</v>
      </c>
      <c r="H9" t="s" s="37">
        <v>77</v>
      </c>
      <c r="I9" s="38">
        <v>8</v>
      </c>
      <c r="J9" s="39"/>
      <c r="K9" s="39"/>
      <c r="L9" t="s" s="34">
        <v>78</v>
      </c>
      <c r="M9" t="s" s="34">
        <v>78</v>
      </c>
      <c r="N9" t="s" s="34">
        <v>78</v>
      </c>
      <c r="O9" t="s" s="34">
        <v>78</v>
      </c>
      <c r="P9" s="39"/>
      <c r="Q9" s="39"/>
      <c r="R9" s="39"/>
      <c r="S9" s="39"/>
      <c r="T9" s="39"/>
      <c r="U9" s="39"/>
      <c r="V9" s="39"/>
      <c r="W9" s="39"/>
    </row>
    <row r="10" ht="30" customHeight="1">
      <c r="A10" t="s" s="34">
        <v>36</v>
      </c>
      <c r="B10" t="s" s="41">
        <v>99</v>
      </c>
      <c r="C10" t="s" s="36">
        <v>100</v>
      </c>
      <c r="D10" t="s" s="35">
        <v>101</v>
      </c>
      <c r="E10" t="s" s="35">
        <v>102</v>
      </c>
      <c r="F10" t="s" s="35">
        <v>83</v>
      </c>
      <c r="G10" t="s" s="35">
        <v>103</v>
      </c>
      <c r="H10" t="s" s="37">
        <v>77</v>
      </c>
      <c r="I10" s="38">
        <v>6</v>
      </c>
      <c r="J10" s="39"/>
      <c r="K10" s="39"/>
      <c r="L10" s="39"/>
      <c r="M10" s="39"/>
      <c r="N10" t="s" s="34">
        <v>78</v>
      </c>
      <c r="O10" t="s" s="34">
        <v>78</v>
      </c>
      <c r="P10" t="s" s="34">
        <v>78</v>
      </c>
      <c r="Q10" s="39"/>
      <c r="R10" s="39"/>
      <c r="S10" s="39"/>
      <c r="T10" s="39"/>
      <c r="U10" s="39"/>
      <c r="V10" s="39"/>
      <c r="W10" s="39"/>
    </row>
    <row r="11" ht="29.5" customHeight="1">
      <c r="A11" t="s" s="34">
        <v>41</v>
      </c>
      <c r="B11" t="s" s="41">
        <v>104</v>
      </c>
      <c r="C11" t="s" s="36">
        <v>105</v>
      </c>
      <c r="D11" t="s" s="35">
        <v>106</v>
      </c>
      <c r="E11" t="s" s="35">
        <v>107</v>
      </c>
      <c r="F11" t="s" s="35">
        <v>75</v>
      </c>
      <c r="G11" t="s" s="35">
        <v>108</v>
      </c>
      <c r="H11" t="s" s="37">
        <v>77</v>
      </c>
      <c r="I11" s="38">
        <v>10</v>
      </c>
      <c r="J11" s="39"/>
      <c r="K11" s="39"/>
      <c r="L11" s="39"/>
      <c r="M11" s="39"/>
      <c r="N11" s="39"/>
      <c r="O11" s="39"/>
      <c r="P11" t="s" s="34">
        <v>78</v>
      </c>
      <c r="Q11" t="s" s="34">
        <v>78</v>
      </c>
      <c r="R11" t="s" s="34">
        <v>78</v>
      </c>
      <c r="S11" t="s" s="34">
        <v>78</v>
      </c>
      <c r="T11" t="s" s="34">
        <v>78</v>
      </c>
      <c r="U11" s="39"/>
      <c r="V11" s="39"/>
      <c r="W11" s="39"/>
    </row>
    <row r="12" ht="29.25" customHeight="1">
      <c r="A12" s="42"/>
      <c r="B12" s="43"/>
      <c r="C12" s="43"/>
      <c r="D12" s="44"/>
      <c r="E12" s="35"/>
      <c r="F12" s="45"/>
      <c r="G12" s="35"/>
      <c r="H12" s="45"/>
      <c r="I12" s="39"/>
      <c r="J12" s="39"/>
      <c r="K12" s="39"/>
      <c r="L12" s="39"/>
      <c r="M12" s="39"/>
      <c r="N12" s="39"/>
      <c r="O12" s="39"/>
      <c r="P12" s="39"/>
      <c r="Q12" s="39"/>
      <c r="R12" s="39"/>
      <c r="S12" s="39"/>
      <c r="T12" s="39"/>
      <c r="U12" s="39"/>
      <c r="V12" s="39"/>
      <c r="W12" s="39"/>
    </row>
    <row r="13" ht="30" customHeight="1">
      <c r="A13" s="42"/>
      <c r="B13" s="43"/>
      <c r="C13" s="43"/>
      <c r="D13" s="44"/>
      <c r="E13" s="35"/>
      <c r="F13" s="45"/>
      <c r="G13" s="35"/>
      <c r="H13" s="45"/>
      <c r="I13" s="39"/>
      <c r="J13" s="39"/>
      <c r="K13" s="39"/>
      <c r="L13" s="39"/>
      <c r="M13" s="39"/>
      <c r="N13" s="39"/>
      <c r="O13" s="39"/>
      <c r="P13" s="39"/>
      <c r="Q13" s="39"/>
      <c r="R13" s="39"/>
      <c r="S13" s="39"/>
      <c r="T13" s="39"/>
      <c r="U13" s="39"/>
      <c r="V13" s="39"/>
      <c r="W13" s="39"/>
    </row>
    <row r="14" ht="29.25" customHeight="1">
      <c r="A14" s="42"/>
      <c r="B14" s="43"/>
      <c r="C14" s="43"/>
      <c r="D14" s="44"/>
      <c r="E14" s="35"/>
      <c r="F14" s="45"/>
      <c r="G14" s="35"/>
      <c r="H14" s="45"/>
      <c r="I14" s="39"/>
      <c r="J14" s="39"/>
      <c r="K14" s="39"/>
      <c r="L14" s="39"/>
      <c r="M14" s="39"/>
      <c r="N14" s="39"/>
      <c r="O14" s="39"/>
      <c r="P14" s="39"/>
      <c r="Q14" s="39"/>
      <c r="R14" s="39"/>
      <c r="S14" s="39"/>
      <c r="T14" s="39"/>
      <c r="U14" s="39"/>
      <c r="V14" s="39"/>
      <c r="W14" s="39"/>
    </row>
    <row r="15" ht="34.5" customHeight="1">
      <c r="A15" s="42"/>
      <c r="B15" s="43"/>
      <c r="C15" s="43"/>
      <c r="D15" s="44"/>
      <c r="E15" s="35"/>
      <c r="F15" s="45"/>
      <c r="G15" s="35"/>
      <c r="H15" s="45"/>
      <c r="I15" s="39"/>
      <c r="J15" s="39"/>
      <c r="K15" s="39"/>
      <c r="L15" s="39"/>
      <c r="M15" s="39"/>
      <c r="N15" s="39"/>
      <c r="O15" s="39"/>
      <c r="P15" s="39"/>
      <c r="Q15" s="39"/>
      <c r="R15" s="39"/>
      <c r="S15" s="39"/>
      <c r="T15" s="39"/>
      <c r="U15" s="39"/>
      <c r="V15" s="39"/>
      <c r="W15" s="39"/>
    </row>
  </sheetData>
  <mergeCells count="9">
    <mergeCell ref="D2:D3"/>
    <mergeCell ref="C2:C3"/>
    <mergeCell ref="B2:B3"/>
    <mergeCell ref="A2:A3"/>
    <mergeCell ref="A4:W4"/>
    <mergeCell ref="H2:H3"/>
    <mergeCell ref="G2:G3"/>
    <mergeCell ref="F2:F3"/>
    <mergeCell ref="E2:E3"/>
  </mergeCells>
  <dataValidations count="1">
    <dataValidation type="list" allowBlank="1" showInputMessage="1" showErrorMessage="1" sqref="F12:F15 H12:H15">
      <formula1>"1- Not Started,2- In Progress,3- Completed"</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4.xml><?xml version="1.0" encoding="utf-8"?>
<worksheet xmlns:r="http://schemas.openxmlformats.org/officeDocument/2006/relationships" xmlns="http://schemas.openxmlformats.org/spreadsheetml/2006/main">
  <dimension ref="A1:D7"/>
  <sheetViews>
    <sheetView workbookViewId="0" showGridLines="0" defaultGridColor="1"/>
  </sheetViews>
  <sheetFormatPr defaultColWidth="8.83333" defaultRowHeight="12.75" customHeight="1" outlineLevelRow="0" outlineLevelCol="0"/>
  <cols>
    <col min="1" max="1" width="9.54688" style="46" customWidth="1"/>
    <col min="2" max="2" width="8.27344" style="46" customWidth="1"/>
    <col min="3" max="3" width="54.125" style="46" customWidth="1"/>
    <col min="4" max="4" width="47.8984" style="46" customWidth="1"/>
    <col min="5" max="16384" width="8.85156" style="46" customWidth="1"/>
  </cols>
  <sheetData>
    <row r="1" ht="49.5" customHeight="1">
      <c r="A1" t="s" s="47">
        <v>110</v>
      </c>
      <c r="B1" t="s" s="47">
        <v>111</v>
      </c>
      <c r="C1" t="s" s="47">
        <v>112</v>
      </c>
      <c r="D1" t="s" s="47">
        <v>113</v>
      </c>
    </row>
    <row r="2" ht="31" customHeight="1">
      <c r="A2" t="s" s="35">
        <v>14</v>
      </c>
      <c r="B2" t="s" s="35">
        <v>57</v>
      </c>
      <c r="C2" t="s" s="12">
        <v>114</v>
      </c>
      <c r="D2" t="s" s="12">
        <v>115</v>
      </c>
    </row>
    <row r="3" ht="30.65" customHeight="1">
      <c r="A3" t="s" s="35">
        <v>24</v>
      </c>
      <c r="B3" t="s" s="35">
        <v>58</v>
      </c>
      <c r="C3" t="s" s="12">
        <v>116</v>
      </c>
      <c r="D3" t="s" s="35">
        <v>117</v>
      </c>
    </row>
    <row r="4" ht="30.65" customHeight="1">
      <c r="A4" t="s" s="35">
        <v>31</v>
      </c>
      <c r="B4" t="s" s="35">
        <v>57</v>
      </c>
      <c r="C4" t="s" s="12">
        <v>118</v>
      </c>
      <c r="D4" t="s" s="35">
        <v>119</v>
      </c>
    </row>
    <row r="5" ht="30.65" customHeight="1">
      <c r="A5" t="s" s="35">
        <v>31</v>
      </c>
      <c r="B5" t="s" s="35">
        <v>59</v>
      </c>
      <c r="C5" t="s" s="35">
        <v>120</v>
      </c>
      <c r="D5" t="s" s="35">
        <v>121</v>
      </c>
    </row>
    <row r="6" ht="31" customHeight="1">
      <c r="A6" t="s" s="35">
        <v>40</v>
      </c>
      <c r="B6" t="s" s="35">
        <v>56</v>
      </c>
      <c r="C6" t="s" s="12">
        <v>122</v>
      </c>
      <c r="D6" t="s" s="35">
        <v>123</v>
      </c>
    </row>
    <row r="7" ht="13.65" customHeight="1">
      <c r="A7" s="48"/>
      <c r="B7" s="48"/>
      <c r="C7" s="48"/>
      <c r="D7" s="4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I7"/>
  <sheetViews>
    <sheetView workbookViewId="0" showGridLines="0" defaultGridColor="1"/>
  </sheetViews>
  <sheetFormatPr defaultColWidth="8.83333" defaultRowHeight="12.75" customHeight="1" outlineLevelRow="0" outlineLevelCol="0"/>
  <cols>
    <col min="1" max="1" width="4.35156" style="49" customWidth="1"/>
    <col min="2" max="2" width="7.17188" style="49" customWidth="1"/>
    <col min="3" max="3" width="10.3516" style="49" customWidth="1"/>
    <col min="4" max="4" width="9.67188" style="49" customWidth="1"/>
    <col min="5" max="5" width="17.3516" style="49" customWidth="1"/>
    <col min="6" max="6" width="34" style="49" customWidth="1"/>
    <col min="7" max="7" width="23.5" style="49" customWidth="1"/>
    <col min="8" max="8" width="24.5" style="49" customWidth="1"/>
    <col min="9" max="9" width="28.6719" style="49" customWidth="1"/>
    <col min="10" max="16384" width="8.85156" style="49" customWidth="1"/>
  </cols>
  <sheetData>
    <row r="1" ht="45.75" customHeight="1">
      <c r="A1" t="s" s="50">
        <v>125</v>
      </c>
      <c r="B1" t="s" s="50">
        <v>126</v>
      </c>
      <c r="C1" t="s" s="50">
        <v>127</v>
      </c>
      <c r="D1" t="s" s="50">
        <v>128</v>
      </c>
      <c r="E1" t="s" s="50">
        <v>129</v>
      </c>
      <c r="F1" t="s" s="50">
        <v>130</v>
      </c>
      <c r="G1" t="s" s="50">
        <v>131</v>
      </c>
      <c r="H1" t="s" s="50">
        <v>132</v>
      </c>
      <c r="I1" t="s" s="50">
        <v>133</v>
      </c>
    </row>
    <row r="2" ht="31" customHeight="1">
      <c r="A2" s="38">
        <v>1</v>
      </c>
      <c r="B2" s="38">
        <v>1</v>
      </c>
      <c r="C2" s="51">
        <v>46055</v>
      </c>
      <c r="D2" s="51">
        <v>46069</v>
      </c>
      <c r="E2" t="s" s="35">
        <v>19</v>
      </c>
      <c r="F2" t="s" s="34">
        <v>134</v>
      </c>
      <c r="G2" t="s" s="12">
        <v>135</v>
      </c>
      <c r="H2" t="s" s="34">
        <v>136</v>
      </c>
      <c r="I2" t="s" s="34">
        <v>137</v>
      </c>
    </row>
    <row r="3" ht="30.65" customHeight="1">
      <c r="A3" s="38">
        <v>2</v>
      </c>
      <c r="B3" s="38">
        <v>2</v>
      </c>
      <c r="C3" s="51">
        <v>46070</v>
      </c>
      <c r="D3" s="51">
        <v>46083</v>
      </c>
      <c r="E3" t="s" s="34">
        <v>19</v>
      </c>
      <c r="F3" t="s" s="34">
        <v>138</v>
      </c>
      <c r="G3" t="s" s="35">
        <v>139</v>
      </c>
      <c r="H3" t="s" s="34">
        <v>140</v>
      </c>
      <c r="I3" t="s" s="34">
        <v>141</v>
      </c>
    </row>
    <row r="4" ht="31" customHeight="1">
      <c r="A4" s="38">
        <v>3</v>
      </c>
      <c r="B4" s="38">
        <v>3</v>
      </c>
      <c r="C4" s="51">
        <v>46084</v>
      </c>
      <c r="D4" s="51">
        <v>46097</v>
      </c>
      <c r="E4" t="s" s="34">
        <v>19</v>
      </c>
      <c r="F4" t="s" s="34">
        <v>142</v>
      </c>
      <c r="G4" t="s" s="35">
        <v>143</v>
      </c>
      <c r="H4" t="s" s="34">
        <v>144</v>
      </c>
      <c r="I4" t="s" s="34">
        <v>145</v>
      </c>
    </row>
    <row r="5" ht="31" customHeight="1">
      <c r="A5" s="38">
        <v>4</v>
      </c>
      <c r="B5" s="38">
        <v>4</v>
      </c>
      <c r="C5" s="51">
        <v>46098</v>
      </c>
      <c r="D5" s="51">
        <v>46111</v>
      </c>
      <c r="E5" t="s" s="34">
        <v>19</v>
      </c>
      <c r="F5" t="s" s="34">
        <v>146</v>
      </c>
      <c r="G5" t="s" s="35">
        <v>147</v>
      </c>
      <c r="H5" t="s" s="34">
        <v>148</v>
      </c>
      <c r="I5" t="s" s="34">
        <v>149</v>
      </c>
    </row>
    <row r="6" ht="13.65" customHeight="1">
      <c r="A6" s="39"/>
      <c r="B6" s="39"/>
      <c r="C6" s="39"/>
      <c r="D6" s="39"/>
      <c r="E6" s="52"/>
      <c r="F6" s="39"/>
      <c r="G6" s="53"/>
      <c r="H6" s="52"/>
      <c r="I6" s="52"/>
    </row>
    <row r="7" ht="13.65" customHeight="1">
      <c r="A7" s="39"/>
      <c r="B7" s="39"/>
      <c r="C7" s="39"/>
      <c r="D7" s="39"/>
      <c r="E7" s="52"/>
      <c r="F7" s="39"/>
      <c r="G7" s="54"/>
      <c r="H7" s="52"/>
      <c r="I7" s="5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